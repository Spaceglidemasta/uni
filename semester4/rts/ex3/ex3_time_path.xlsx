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utzer\Documents\programming scripts\uni\semester4\rts\"/>
    </mc:Choice>
  </mc:AlternateContent>
  <xr:revisionPtr revIDLastSave="0" documentId="13_ncr:1_{26878071-F4CA-49AB-B4B3-F406A11355FF}" xr6:coauthVersionLast="47" xr6:coauthVersionMax="47" xr10:uidLastSave="{00000000-0000-0000-0000-000000000000}"/>
  <bookViews>
    <workbookView xWindow="-120" yWindow="450" windowWidth="38640" windowHeight="20670" xr2:uid="{CBCDA861-A1A0-491B-8C9A-A30D2C6034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1" l="1"/>
  <c r="C11" i="1"/>
  <c r="C6" i="1"/>
  <c r="C5" i="1"/>
  <c r="F5" i="1"/>
  <c r="F7" i="1"/>
  <c r="F9" i="1"/>
  <c r="F4" i="1"/>
  <c r="F11" i="1"/>
  <c r="F8" i="1"/>
  <c r="F6" i="1"/>
  <c r="F3" i="1"/>
  <c r="F10" i="1"/>
  <c r="F2" i="1"/>
</calcChain>
</file>

<file path=xl/sharedStrings.xml><?xml version="1.0" encoding="utf-8"?>
<sst xmlns="http://schemas.openxmlformats.org/spreadsheetml/2006/main" count="4" uniqueCount="2">
  <si>
    <t>time (h)</t>
  </si>
  <si>
    <t>distance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</si>
</sst>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2">
    <dxf>
      <numFmt numFmtId="25" formatCode="hh:mm"/>
    </dxf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Sheet1!$B$2:$B$13</c:f>
              <c:numCache>
                <c:formatCode>h:mm</c:formatCode>
                <c:ptCount val="12"/>
                <c:pt idx="0">
                  <c:v>0.79861111111111116</c:v>
                </c:pt>
                <c:pt idx="1">
                  <c:v>0.83680555555555558</c:v>
                </c:pt>
                <c:pt idx="2">
                  <c:v>0.84166666666666667</c:v>
                </c:pt>
                <c:pt idx="3">
                  <c:v>0.86319444444444449</c:v>
                </c:pt>
                <c:pt idx="4">
                  <c:v>0.86388888888888893</c:v>
                </c:pt>
                <c:pt idx="5">
                  <c:v>0.87013888888888891</c:v>
                </c:pt>
                <c:pt idx="6">
                  <c:v>0.87152777777777779</c:v>
                </c:pt>
                <c:pt idx="7">
                  <c:v>0.87986111111111109</c:v>
                </c:pt>
                <c:pt idx="8">
                  <c:v>0.88124999999999998</c:v>
                </c:pt>
                <c:pt idx="9">
                  <c:v>0.88680555555555551</c:v>
                </c:pt>
                <c:pt idx="10">
                  <c:v>0.8881944444444444</c:v>
                </c:pt>
                <c:pt idx="11">
                  <c:v>0.89652777777777781</c:v>
                </c:pt>
              </c:numCache>
            </c:numRef>
          </c:xVal>
          <c:yVal>
            <c:numRef>
              <c:f>Sheet1!$C$2:$C$13</c:f>
              <c:numCache>
                <c:formatCode>General</c:formatCode>
                <c:ptCount val="12"/>
                <c:pt idx="0">
                  <c:v>0</c:v>
                </c:pt>
                <c:pt idx="1">
                  <c:v>94</c:v>
                </c:pt>
                <c:pt idx="2">
                  <c:v>94</c:v>
                </c:pt>
                <c:pt idx="3">
                  <c:v>162</c:v>
                </c:pt>
                <c:pt idx="4">
                  <c:v>162</c:v>
                </c:pt>
                <c:pt idx="5">
                  <c:v>172</c:v>
                </c:pt>
                <c:pt idx="6">
                  <c:v>172</c:v>
                </c:pt>
                <c:pt idx="7">
                  <c:v>182</c:v>
                </c:pt>
                <c:pt idx="8">
                  <c:v>182</c:v>
                </c:pt>
                <c:pt idx="9">
                  <c:v>214</c:v>
                </c:pt>
                <c:pt idx="10">
                  <c:v>214</c:v>
                </c:pt>
                <c:pt idx="11">
                  <c:v>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47-4B95-8BA2-E2531227F4FA}"/>
            </c:ext>
          </c:extLst>
        </c:ser>
        <c:ser>
          <c:idx val="0"/>
          <c:order val="1"/>
          <c:tx>
            <c:strRef>
              <c:f>Sheet1!$F$1</c:f>
              <c:strCache>
                <c:ptCount val="1"/>
                <c:pt idx="0">
                  <c:v>distance (km)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Sheet1!$E$2:$E$11</c:f>
              <c:numCache>
                <c:formatCode>h:mm</c:formatCode>
                <c:ptCount val="10"/>
                <c:pt idx="0">
                  <c:v>0.77083333333333337</c:v>
                </c:pt>
                <c:pt idx="1">
                  <c:v>0.77986111111111112</c:v>
                </c:pt>
                <c:pt idx="2">
                  <c:v>0.78125</c:v>
                </c:pt>
                <c:pt idx="3">
                  <c:v>0.78819444444444442</c:v>
                </c:pt>
                <c:pt idx="4">
                  <c:v>0.7895833333333333</c:v>
                </c:pt>
                <c:pt idx="5">
                  <c:v>0.7993055555555556</c:v>
                </c:pt>
                <c:pt idx="6">
                  <c:v>0.80069444444444449</c:v>
                </c:pt>
                <c:pt idx="7">
                  <c:v>0.82777777777777772</c:v>
                </c:pt>
                <c:pt idx="8">
                  <c:v>0.83194444444444449</c:v>
                </c:pt>
                <c:pt idx="9">
                  <c:v>0.87083333333333335</c:v>
                </c:pt>
              </c:numCache>
            </c:numRef>
          </c:xVal>
          <c:yVal>
            <c:numRef>
              <c:f>Sheet1!$F$2:$F$11</c:f>
              <c:numCache>
                <c:formatCode>General</c:formatCode>
                <c:ptCount val="10"/>
                <c:pt idx="0">
                  <c:v>235</c:v>
                </c:pt>
                <c:pt idx="1">
                  <c:v>214</c:v>
                </c:pt>
                <c:pt idx="2">
                  <c:v>214</c:v>
                </c:pt>
                <c:pt idx="3">
                  <c:v>182</c:v>
                </c:pt>
                <c:pt idx="4">
                  <c:v>182</c:v>
                </c:pt>
                <c:pt idx="5">
                  <c:v>172</c:v>
                </c:pt>
                <c:pt idx="6">
                  <c:v>172</c:v>
                </c:pt>
                <c:pt idx="7">
                  <c:v>94</c:v>
                </c:pt>
                <c:pt idx="8">
                  <c:v>94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47-4B95-8BA2-E2531227F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972528"/>
        <c:axId val="951974688"/>
      </c:scatterChart>
      <c:valAx>
        <c:axId val="95197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1974688"/>
        <c:crosses val="autoZero"/>
        <c:crossBetween val="midCat"/>
      </c:valAx>
      <c:valAx>
        <c:axId val="95197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197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distance (km)</c:v>
                </c:pt>
              </c:strCache>
            </c:strRef>
          </c:tx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Sheet1!$E$2:$E$11</c:f>
              <c:numCache>
                <c:formatCode>h:mm</c:formatCode>
                <c:ptCount val="10"/>
                <c:pt idx="0">
                  <c:v>0.77083333333333337</c:v>
                </c:pt>
                <c:pt idx="1">
                  <c:v>0.77986111111111112</c:v>
                </c:pt>
                <c:pt idx="2">
                  <c:v>0.78125</c:v>
                </c:pt>
                <c:pt idx="3">
                  <c:v>0.78819444444444442</c:v>
                </c:pt>
                <c:pt idx="4">
                  <c:v>0.7895833333333333</c:v>
                </c:pt>
                <c:pt idx="5">
                  <c:v>0.7993055555555556</c:v>
                </c:pt>
                <c:pt idx="6">
                  <c:v>0.80069444444444449</c:v>
                </c:pt>
                <c:pt idx="7">
                  <c:v>0.82777777777777772</c:v>
                </c:pt>
                <c:pt idx="8">
                  <c:v>0.83194444444444449</c:v>
                </c:pt>
                <c:pt idx="9">
                  <c:v>0.87083333333333335</c:v>
                </c:pt>
              </c:numCache>
            </c:numRef>
          </c:xVal>
          <c:yVal>
            <c:numRef>
              <c:f>Sheet1!$F$2:$F$11</c:f>
              <c:numCache>
                <c:formatCode>General</c:formatCode>
                <c:ptCount val="10"/>
                <c:pt idx="0">
                  <c:v>235</c:v>
                </c:pt>
                <c:pt idx="1">
                  <c:v>214</c:v>
                </c:pt>
                <c:pt idx="2">
                  <c:v>214</c:v>
                </c:pt>
                <c:pt idx="3">
                  <c:v>182</c:v>
                </c:pt>
                <c:pt idx="4">
                  <c:v>182</c:v>
                </c:pt>
                <c:pt idx="5">
                  <c:v>172</c:v>
                </c:pt>
                <c:pt idx="6">
                  <c:v>172</c:v>
                </c:pt>
                <c:pt idx="7">
                  <c:v>94</c:v>
                </c:pt>
                <c:pt idx="8">
                  <c:v>94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4B-45FC-A498-08ACBCE39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972528"/>
        <c:axId val="951974688"/>
      </c:scatterChart>
      <c:valAx>
        <c:axId val="95197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1974688"/>
        <c:crosses val="autoZero"/>
        <c:crossBetween val="midCat"/>
      </c:valAx>
      <c:valAx>
        <c:axId val="95197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1972528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518067</xdr:colOff>
      <xdr:row>15</xdr:row>
      <xdr:rowOff>180278</xdr:rowOff>
    </xdr:from>
    <xdr:to>
      <xdr:col>4</xdr:col>
      <xdr:colOff>834018</xdr:colOff>
      <xdr:row>30</xdr:row>
      <xdr:rowOff>65978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658C61-54CF-3427-070F-DB4815FE0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11616</xdr:colOff>
      <xdr:row>15</xdr:row>
      <xdr:rowOff>184925</xdr:rowOff>
    </xdr:from>
    <xdr:to>
      <xdr:col>11</xdr:col>
      <xdr:colOff>415848</xdr:colOff>
      <xdr:row>30</xdr:row>
      <xdr:rowOff>70625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692096-3687-E4C0-B17B-C86046635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ABDDB3-85D4-4458-AE92-A724BD8B410F}" name="Table1" displayName="Table1" ref="B1:C13" totalsRowShown="0">
  <autoFilter ref="B1:C13" xr:uid="{C7ABDDB3-85D4-4458-AE92-A724BD8B410F}"/>
  <tableColumns count="2">
    <tableColumn id="1" xr3:uid="{38AEAB5A-E3D3-42ED-96C3-FEE0BB6DC156}" name="time (h)" dataDxfId="1"/>
    <tableColumn id="2" xr3:uid="{23D812DA-9F1A-4E4A-8407-78C4B3D1F84C}" name="distance (km)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120409-5B87-45F3-AD9C-411368F194B7}" name="Table3" displayName="Table3" ref="E1:F11" totalsRowShown="0">
  <autoFilter ref="E1:F11" xr:uid="{89120409-5B87-45F3-AD9C-411368F194B7}"/>
  <tableColumns count="2">
    <tableColumn id="1" xr3:uid="{D488B5B4-311A-4088-B5B2-4E9B4ED25CDE}" name="time (h)"/>
    <tableColumn id="2" xr3:uid="{99058F70-E9AE-49ED-8F46-55EA11B09E04}" name="distance (km)">
      <calculatedColumnFormula>235 - Table3[[#This Row],[distance (km)]]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E647-D979-4BA1-A04F-E9DE52277938}">
  <dimension ref="B1:F14"/>
  <sheetViews>
    <sheetView tabSelected="1" topLeftCell="A7" zoomScale="190" zoomScaleNormal="190" workbookViewId="0">
      <selection activeCell="N23" sqref="N23"/>
    </sheetView>
  </sheetViews>
  <sheetFormatPr defaultRowHeight="15" x14ac:dyDescent="0.25"/>
  <cols>
    <col min="2" max="2" width="22.85546875" customWidth="1"/>
    <col min="3" max="3" width="19.85546875" customWidth="1"/>
    <col min="4" max="4" width="12" customWidth="1"/>
    <col min="5" max="5" width="13.28515625" customWidth="1"/>
    <col min="6" max="6" width="16.85546875" customWidth="1"/>
  </cols>
  <sheetData>
    <row r="1" spans="2:6" x14ac:dyDescent="0.25">
      <c r="B1" t="s">
        <v>0</v>
      </c>
      <c r="C1" t="s">
        <v>1</v>
      </c>
      <c r="E1" t="s">
        <v>0</v>
      </c>
      <c r="F1" t="s">
        <v>1</v>
      </c>
    </row>
    <row r="2" spans="2:6" x14ac:dyDescent="0.25">
      <c r="B2" s="1">
        <v>0.79861111111111116</v>
      </c>
      <c r="C2">
        <v>0</v>
      </c>
      <c r="D2" s="1"/>
      <c r="E2" s="1">
        <v>0.77083333333333337</v>
      </c>
      <c r="F2">
        <f ca="1">235 - Table3[[#This Row],[distance (km)]]</f>
        <v>235</v>
      </c>
    </row>
    <row r="3" spans="2:6" x14ac:dyDescent="0.25">
      <c r="B3" s="1">
        <v>0.83680555555555558</v>
      </c>
      <c r="C3">
        <v>94</v>
      </c>
      <c r="D3" s="1"/>
      <c r="E3" s="1">
        <v>0.77986111111111112</v>
      </c>
      <c r="F3">
        <f ca="1">235 - Table3[[#This Row],[distance (km)]]</f>
        <v>214</v>
      </c>
    </row>
    <row r="4" spans="2:6" x14ac:dyDescent="0.25">
      <c r="B4" s="1">
        <v>0.84166666666666667</v>
      </c>
      <c r="C4">
        <v>94</v>
      </c>
      <c r="D4" s="1"/>
      <c r="E4" s="1">
        <v>0.78125</v>
      </c>
      <c r="F4">
        <f ca="1">235 - Table3[[#This Row],[distance (km)]]</f>
        <v>214</v>
      </c>
    </row>
    <row r="5" spans="2:6" x14ac:dyDescent="0.25">
      <c r="B5" s="1">
        <v>0.86319444444444449</v>
      </c>
      <c r="C5">
        <f>94 + 68</f>
        <v>162</v>
      </c>
      <c r="D5" s="1"/>
      <c r="E5" s="1">
        <v>0.78819444444444442</v>
      </c>
      <c r="F5">
        <f ca="1">235 - Table3[[#This Row],[distance (km)]]</f>
        <v>182</v>
      </c>
    </row>
    <row r="6" spans="2:6" x14ac:dyDescent="0.25">
      <c r="B6" s="1">
        <v>0.86388888888888893</v>
      </c>
      <c r="C6">
        <f>94 + 68</f>
        <v>162</v>
      </c>
      <c r="D6" s="1"/>
      <c r="E6" s="1">
        <v>0.7895833333333333</v>
      </c>
      <c r="F6">
        <f ca="1">235 - Table3[[#This Row],[distance (km)]]</f>
        <v>182</v>
      </c>
    </row>
    <row r="7" spans="2:6" x14ac:dyDescent="0.25">
      <c r="B7" s="1">
        <v>0.87013888888888891</v>
      </c>
      <c r="C7">
        <v>172</v>
      </c>
      <c r="D7" s="1"/>
      <c r="E7" s="1">
        <v>0.7993055555555556</v>
      </c>
      <c r="F7">
        <f ca="1">235 - Table3[[#This Row],[distance (km)]]</f>
        <v>172</v>
      </c>
    </row>
    <row r="8" spans="2:6" x14ac:dyDescent="0.25">
      <c r="B8" s="1">
        <v>0.87152777777777779</v>
      </c>
      <c r="C8">
        <v>172</v>
      </c>
      <c r="D8" s="1"/>
      <c r="E8" s="1">
        <v>0.80069444444444449</v>
      </c>
      <c r="F8">
        <f ca="1">235 - Table3[[#This Row],[distance (km)]]</f>
        <v>172</v>
      </c>
    </row>
    <row r="9" spans="2:6" x14ac:dyDescent="0.25">
      <c r="B9" s="1">
        <v>0.87986111111111109</v>
      </c>
      <c r="C9">
        <v>182</v>
      </c>
      <c r="E9" s="1">
        <v>0.82777777777777772</v>
      </c>
      <c r="F9">
        <f ca="1">235 - Table3[[#This Row],[distance (km)]]</f>
        <v>94</v>
      </c>
    </row>
    <row r="10" spans="2:6" x14ac:dyDescent="0.25">
      <c r="B10" s="1">
        <v>0.88124999999999998</v>
      </c>
      <c r="C10">
        <v>182</v>
      </c>
      <c r="E10" s="1">
        <v>0.83194444444444449</v>
      </c>
      <c r="F10">
        <f ca="1">235 - Table3[[#This Row],[distance (km)]]</f>
        <v>94</v>
      </c>
    </row>
    <row r="11" spans="2:6" x14ac:dyDescent="0.25">
      <c r="B11" s="1">
        <v>0.88680555555555551</v>
      </c>
      <c r="C11">
        <f>182 + 32</f>
        <v>214</v>
      </c>
      <c r="E11" s="1">
        <v>0.87083333333333335</v>
      </c>
      <c r="F11">
        <f ca="1">235 - Table3[[#This Row],[distance (km)]]</f>
        <v>0</v>
      </c>
    </row>
    <row r="12" spans="2:6" x14ac:dyDescent="0.25">
      <c r="B12" s="1">
        <v>0.8881944444444444</v>
      </c>
      <c r="C12">
        <v>214</v>
      </c>
    </row>
    <row r="13" spans="2:6" x14ac:dyDescent="0.25">
      <c r="B13" s="1">
        <v>0.89652777777777781</v>
      </c>
      <c r="C13">
        <f>214 + 21</f>
        <v>235</v>
      </c>
    </row>
    <row r="14" spans="2:6" x14ac:dyDescent="0.25">
      <c r="B14" s="1"/>
    </row>
  </sheetData>
  <sortState xmlns:xlrd2="http://schemas.microsoft.com/office/spreadsheetml/2017/richdata2" ref="F2:F10">
    <sortCondition ref="F1:F10"/>
  </sortState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De Simone</dc:creator>
  <cp:lastModifiedBy>Luca De Simone</cp:lastModifiedBy>
  <dcterms:created xsi:type="dcterms:W3CDTF">2026-04-30T11:17:53Z</dcterms:created>
  <dcterms:modified xsi:type="dcterms:W3CDTF">2026-05-03T17:23:42Z</dcterms:modified>
</cp:coreProperties>
</file>